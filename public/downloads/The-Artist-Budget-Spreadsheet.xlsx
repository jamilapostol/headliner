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he Split" sheetId="2" state="visible" r:id="rId4"/>
    <sheet name="Year Map" sheetId="3" state="visible" r:id="rId5"/>
    <sheet name="Show Tracker" sheetId="4" state="visible" r:id="rId6"/>
    <sheet name="Merch Items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<sst xmlns="http://schemas.openxmlformats.org/spreadsheetml/2006/main" count="108" uniqueCount="108">
  <si>
    <t xml:space="preserve">THE ARTIST BUDGET SPREADSHEET</t>
  </si>
  <si>
    <t xml:space="preserve">A free tool from THE ARTIST OPERATOR by Jamil Apostol · headline.world</t>
  </si>
  <si>
    <t xml:space="preserve">HOW TO USE THIS WORKBOOK</t>
  </si>
  <si>
    <t xml:space="preserve">1.  THE SPLIT — set your four-account percentages and your fixed monthly salary. Yellow cells (blue text) are yours to edit; everything else calculates.</t>
  </si>
  <si>
    <t xml:space="preserve">2.  YEAR MAP — pencil in expected income and costs per month. The sheet computes the split, flags FAT/LEAN months, and runs your war-chest balance.</t>
  </si>
  <si>
    <t xml:space="preserve">3.  SHOW TRACKER — one row per show: guarantee, door, merch, costs. Net settles automatically. The example row shows the format; overwrite it.</t>
  </si>
  <si>
    <t xml:space="preserve">4.  MERCH ITEMS — one row per item: run costs in, true unit cost, profit per unit, break-even units, and markup all calculate. Order nothing below a 3x markup without a reason.</t>
  </si>
  <si>
    <t xml:space="preserve">5.  DASHBOARD — the year in one screen: totals, salary coverage, runway in months. Nothing to edit here; it reads the other sheets.</t>
  </si>
  <si>
    <t xml:space="preserve">LEGEND</t>
  </si>
  <si>
    <t xml:space="preserve">Yellow cells with blue text = inputs you edit.   Black text = formulas, leave them alone.   The example rows contain realistic sample values — replace them with your own.</t>
  </si>
  <si>
    <t xml:space="preserve">THE RULES THIS SHEET ENFORCES (from 'The Artist's Money Year')</t>
  </si>
  <si>
    <t xml:space="preserve">• Every dollar that arrives gets split on arrival: Operating / Salary / Taxes / War Chest.</t>
  </si>
  <si>
    <t xml:space="preserve">• The salary is fixed and monthly, no matter what the month made. Fat months fund lean months.</t>
  </si>
  <si>
    <t xml:space="preserve">• The count is the pay: shows and merch get logged the night they happen, not reconstructed in April.</t>
  </si>
  <si>
    <t xml:space="preserve">This is planning structure, not financial or tax advice — check the percentages against your own situation.</t>
  </si>
  <si>
    <t xml:space="preserve">THE SPLIT — set once a year, obey all year</t>
  </si>
  <si>
    <t xml:space="preserve">ACCOUNT</t>
  </si>
  <si>
    <t xml:space="preserve">% OF EVERY DOLLAR</t>
  </si>
  <si>
    <t xml:space="preserve">WHAT IT'S FOR</t>
  </si>
  <si>
    <t xml:space="preserve">Operating</t>
  </si>
  <si>
    <t xml:space="preserve">Everything the operation spends: gear, gas, sessions, ads, software, strings.</t>
  </si>
  <si>
    <t xml:space="preserve">Salary</t>
  </si>
  <si>
    <t xml:space="preserve">What you pay yourself — same amount, same day, every month.</t>
  </si>
  <si>
    <t xml:space="preserve">Taxes</t>
  </si>
  <si>
    <t xml:space="preserve">Skimmed on arrival, untouchable. April thanks June.</t>
  </si>
  <si>
    <t xml:space="preserve">War Chest</t>
  </si>
  <si>
    <t xml:space="preserve">Runway. What lets you say no to bad money.</t>
  </si>
  <si>
    <t xml:space="preserve">TOTAL (must equal 100%)</t>
  </si>
  <si>
    <t xml:space="preserve">MY MONTHLY SALARY ($)</t>
  </si>
  <si>
    <t xml:space="preserve">The fixed number, however humble, that hits your personal account on the same day every month.</t>
  </si>
  <si>
    <t xml:space="preserve">RUNWAY TARGET (months)</t>
  </si>
  <si>
    <t xml:space="preserve">Months of survival the war chest should hold by December.</t>
  </si>
  <si>
    <t xml:space="preserve">MONTHLY SURVIVAL COST ($)</t>
  </si>
  <si>
    <t xml:space="preserve">What one month of your life costs, personally — rent, food, phone. Used for the runway math.</t>
  </si>
  <si>
    <t xml:space="preserve">WAR CHEST BALANCE TODAY ($)</t>
  </si>
  <si>
    <t xml:space="preserve">Starting balance — the Year Map runs forward from this number.</t>
  </si>
  <si>
    <t xml:space="preserve">THE YEAR MAP — expected money, month by month</t>
  </si>
  <si>
    <t xml:space="preserve">Yellow cells are estimates you edit. IN gets split by The Split; the war chest runs forward from its starting balance.</t>
  </si>
  <si>
    <t xml:space="preserve">MONTH</t>
  </si>
  <si>
    <t xml:space="preserve">SHOWS ($)</t>
  </si>
  <si>
    <t xml:space="preserve">MERCH ($)</t>
  </si>
  <si>
    <t xml:space="preserve">ROYALTIES ($)</t>
  </si>
  <si>
    <t xml:space="preserve">OTHER ($)</t>
  </si>
  <si>
    <t xml:space="preserve">TOTAL IN</t>
  </si>
  <si>
    <t xml:space="preserve">OPERATING COSTS ($)</t>
  </si>
  <si>
    <t xml:space="preserve">TO SALARY</t>
  </si>
  <si>
    <t xml:space="preserve">TO TAXES</t>
  </si>
  <si>
    <t xml:space="preserve">TO WAR CHEST</t>
  </si>
  <si>
    <t xml:space="preserve">NET MONTH</t>
  </si>
  <si>
    <t xml:space="preserve">WAR CHEST BAL</t>
  </si>
  <si>
    <t xml:space="preserve">FAT/LEAN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</si>
  <si>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</si>
  <si>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</si>
  <si>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</si>
  <si>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</si>
  <si>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</si>
  <si>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</si>
  <si>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</si>
  <si>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</si>
  <si>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</si>
  <si>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</si>
  <si>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</si>
  <si>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</si>
  <si>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</t>
  </si>
  <si>
    <t xml:space="preserve">THE SHOW TRACKER — settle every show the night it happens</t>
  </si>
  <si>
    <t xml:space="preserve">Row 6 is a worked example — overwrite it with your first show. NET = guarantee + door + merch − venue merch cut − costs.</t>
  </si>
  <si>
    <t xml:space="preserve">DATE</t>
  </si>
  <si>
    <t xml:space="preserve">CITY</t>
  </si>
  <si>
    <t xml:space="preserve">VENUE</t>
  </si>
  <si>
    <t xml:space="preserve">GUARANTEE ($)</t>
  </si>
  <si>
    <t xml:space="preserve">DOOR ($)</t>
  </si>
  <si>
    <t xml:space="preserve">MERCH GROSS ($)</t>
  </si>
  <si>
    <t xml:space="preserve">VENUE MERCH CUT %</t>
  </si>
  <si>
    <t xml:space="preserve">COSTS ($)</t>
  </si>
  <si>
    <t xml:space="preserve">MERCH CUT ($)</t>
  </si>
  <si>
    <t xml:space="preserve">NET ($)</t>
  </si>
  <si>
    <t xml:space="preserve">2026-09-12</t>
  </si>
  <si>
    <t xml:space="preserve">Reno, NV</t>
  </si>
  <si>
    <t xml:space="preserve">The Holland Project</t>
  </si>
  <si>
    <t xml:space="preserve">TOTALS</t>
  </si>
  <si>
    <t xml:space="preserve">MERCH ITEM CARDS — the math before the order</t>
  </si>
  <si>
    <t xml:space="preserve">Row 6 is a worked example. Break-even = total run cost ÷ profit per unit. Aim for markup ≥ 3.</t>
  </si>
  <si>
    <t xml:space="preserve">ITEM</t>
  </si>
  <si>
    <t xml:space="preserve">RUN SIZE</t>
  </si>
  <si>
    <t xml:space="preserve">RUN COST ($)</t>
  </si>
  <si>
    <t xml:space="preserve">SHIP/SETUP ($)</t>
  </si>
  <si>
    <t xml:space="preserve">TRUE UNIT COST</t>
  </si>
  <si>
    <t xml:space="preserve">PRICE ($)</t>
  </si>
  <si>
    <t xml:space="preserve">VENUE CUT %</t>
  </si>
  <si>
    <t xml:space="preserve">PROFIT / UNIT</t>
  </si>
  <si>
    <t xml:space="preserve">BREAK-EVEN UNITS</t>
  </si>
  <si>
    <t xml:space="preserve">MARKUP</t>
  </si>
  <si>
    <t xml:space="preserve">Tour tee (heavyweight)</t>
  </si>
  <si>
    <t xml:space="preserve">THE YEAR IN ONE SCREEN</t>
  </si>
  <si>
    <t xml:space="preserve">Reads the other sheets. Nothing to edit here.</t>
  </si>
  <si>
    <t xml:space="preserve">Total in (Year Map)</t>
  </si>
  <si>
    <t xml:space="preserve">Operating costs (Year Map)</t>
  </si>
  <si>
    <t xml:space="preserve">Paid to salary</t>
  </si>
  <si>
    <t xml:space="preserve">Set aside for taxes</t>
  </si>
  <si>
    <t xml:space="preserve">Into the war chest</t>
  </si>
  <si>
    <t xml:space="preserve">War chest at year end</t>
  </si>
  <si>
    <t xml:space="preserve">Runway at year end (months)</t>
  </si>
  <si>
    <t xml:space="preserve">Runway target (months)</t>
  </si>
  <si>
    <t xml:space="preserve">Runway status</t>
  </si>
  <si>
    <t xml:space="preserve">Salary the split can fund monthly</t>
  </si>
  <si>
    <t xml:space="preserve">Salary you set</t>
  </si>
  <si>
    <t xml:space="preserve">Salary status</t>
  </si>
  <si>
    <t xml:space="preserve">Shows logged net (Show Tracker)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</si>
</sst>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;&quot;($&quot;#,##0\);\-"/>
    <numFmt numFmtId="167" formatCode="\$#,##0.00"/>
    <numFmt numFmtId="168" formatCode="General"/>
    <numFmt numFmtId="169" formatCode="0.0\x"/>
    <numFmt numFmtId="170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0A0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B0A0E"/>
      <name val="Arial"/>
      <family val="0"/>
      <charset val="1"/>
    </font>
    <font>
      <b val="true"/>
      <sz val="16"/>
      <color rgb="FF0B0A0E"/>
      <name val="Arial"/>
      <family val="0"/>
      <charset val="1"/>
    </font>
    <font>
      <b val="true"/>
      <sz val="10"/>
      <color rgb="FFF7F1E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0A0E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C93C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1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93C"/>
      <rgbColor rgb="FFFF9900"/>
      <rgbColor rgb="FFFF6600"/>
      <rgbColor rgb="FF666666"/>
      <rgbColor rgb="FF969696"/>
      <rgbColor rgb="FF003366"/>
      <rgbColor rgb="FF339966"/>
      <rgbColor rgb="FF0B0A0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5" t="s">
        <v>15</v>
      </c>
    </row>
    <row r="4" customFormat="false" ht="15" hidden="false" customHeight="false" outlineLevel="0" collapsed="false">
      <c r="B4" s="6" t="s">
        <v>16</v>
      </c>
      <c r="C4" s="6" t="s">
        <v>17</v>
      </c>
      <c r="D4" s="6"/>
      <c r="E4" s="6" t="s">
        <v>18</v>
      </c>
    </row>
    <row r="5" customFormat="false" ht="15" hidden="false" customHeight="false" outlineLevel="0" collapsed="false">
      <c r="B5" s="7" t="s">
        <v>19</v>
      </c>
      <c r="C5" s="8" t="n">
        <v>0.5</v>
      </c>
      <c r="E5" s="2" t="s">
        <v>20</v>
      </c>
    </row>
    <row r="6" customFormat="false" ht="15" hidden="false" customHeight="false" outlineLevel="0" collapsed="false">
      <c r="B6" s="7" t="s">
        <v>21</v>
      </c>
      <c r="C6" s="8" t="n">
        <v>0.25</v>
      </c>
      <c r="E6" s="2" t="s">
        <v>22</v>
      </c>
    </row>
    <row r="7" customFormat="false" ht="15" hidden="false" customHeight="false" outlineLevel="0" collapsed="false">
      <c r="B7" s="7" t="s">
        <v>23</v>
      </c>
      <c r="C7" s="8" t="n">
        <v>0.15</v>
      </c>
      <c r="E7" s="2" t="s">
        <v>24</v>
      </c>
    </row>
    <row r="8" customFormat="false" ht="15" hidden="false" customHeight="false" outlineLevel="0" collapsed="false">
      <c r="B8" s="7" t="s">
        <v>25</v>
      </c>
      <c r="C8" s="8" t="n">
        <v>0.1</v>
      </c>
      <c r="E8" s="2" t="s">
        <v>26</v>
      </c>
    </row>
    <row r="9" customFormat="false" ht="15" hidden="false" customHeight="false" outlineLevel="0" collapsed="false">
      <c r="B9" s="7" t="s">
        <v>27</v>
      </c>
      <c r="C9" s="9" t="n">
        <f aca="false">SUM(C5:C8)</f>
        <v>1</v>
      </c>
      <c r="D9" s="10" t="str">
        <f aca="false">IF(ROUND(C9,4)=1,"OK","FIX")</f>
        <v>OK</v>
      </c>
    </row>
    <row r="11" customFormat="false" ht="15" hidden="false" customHeight="false" outlineLevel="0" collapsed="false">
      <c r="B11" s="7" t="s">
        <v>28</v>
      </c>
      <c r="C11" s="11" t="n">
        <v>1500</v>
      </c>
      <c r="E11" s="2" t="s">
        <v>29</v>
      </c>
    </row>
    <row r="12" customFormat="false" ht="15" hidden="false" customHeight="false" outlineLevel="0" collapsed="false">
      <c r="B12" s="7" t="s">
        <v>30</v>
      </c>
      <c r="C12" s="12" t="n">
        <v>4</v>
      </c>
      <c r="E12" s="2" t="s">
        <v>31</v>
      </c>
    </row>
    <row r="13" customFormat="false" ht="15" hidden="false" customHeight="false" outlineLevel="0" collapsed="false">
      <c r="B13" s="7" t="s">
        <v>32</v>
      </c>
      <c r="C13" s="11" t="n">
        <v>2200</v>
      </c>
      <c r="E13" s="2" t="s">
        <v>33</v>
      </c>
    </row>
    <row r="15" customFormat="false" ht="15" hidden="false" customHeight="false" outlineLevel="0" collapsed="false">
      <c r="B15" s="7" t="s">
        <v>34</v>
      </c>
      <c r="C15" s="11" t="n">
        <v>1000</v>
      </c>
      <c r="E15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6" min="3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2" min="9" style="0" width="12"/>
    <col collapsed="false" customWidth="true" hidden="false" outlineLevel="0" max="13" min="13" style="0" width="13"/>
    <col collapsed="false" customWidth="true" hidden="false" outlineLevel="0" max="14" min="14" style="0" width="10"/>
  </cols>
  <sheetData>
    <row r="2" customFormat="false" ht="19.7" hidden="false" customHeight="false" outlineLevel="0" collapsed="false">
      <c r="B2" s="5" t="s">
        <v>36</v>
      </c>
    </row>
    <row r="3" customFormat="false" ht="15" hidden="false" customHeight="false" outlineLevel="0" collapsed="false">
      <c r="B3" s="2" t="s">
        <v>37</v>
      </c>
    </row>
    <row r="5" customFormat="false" ht="23.85" hidden="false" customHeight="false" outlineLevel="0" collapsed="false">
      <c r="B5" s="13" t="s">
        <v>38</v>
      </c>
      <c r="C5" s="13" t="s">
        <v>39</v>
      </c>
      <c r="D5" s="13" t="s">
        <v>40</v>
      </c>
      <c r="E5" s="13" t="s">
        <v>41</v>
      </c>
      <c r="F5" s="13" t="s">
        <v>42</v>
      </c>
      <c r="G5" s="13" t="s">
        <v>43</v>
      </c>
      <c r="H5" s="13" t="s">
        <v>44</v>
      </c>
      <c r="I5" s="13" t="s">
        <v>45</v>
      </c>
      <c r="J5" s="13" t="s">
        <v>46</v>
      </c>
      <c r="K5" s="13" t="s">
        <v>47</v>
      </c>
      <c r="L5" s="13" t="s">
        <v>48</v>
      </c>
      <c r="M5" s="13" t="s">
        <v>49</v>
      </c>
      <c r="N5" s="13" t="s">
        <v>50</v>
      </c>
    </row>
    <row r="6" customFormat="false" ht="15" hidden="false" customHeight="false" outlineLevel="0" collapsed="false">
      <c r="B6" s="7" t="s">
        <v>51</v>
      </c>
      <c r="C6" s="11" t="n">
        <v>400</v>
      </c>
      <c r="D6" s="11" t="n">
        <v>80</v>
      </c>
      <c r="E6" s="11" t="n">
        <v>120</v>
      </c>
      <c r="F6" s="11" t="n">
        <v>300</v>
      </c>
      <c r="G6" s="14" t="n">
        <f aca="false">SUM(C6:F6)</f>
        <v>900</v>
      </c>
      <c r="H6" s="11" t="n">
        <v>350</v>
      </c>
      <c r="I6" s="15" t="n">
        <f aca="false">'The Split'!$C$6*G6</f>
        <v>225</v>
      </c>
      <c r="J6" s="15" t="n">
        <f aca="false">'The Split'!$C$7*G6</f>
        <v>135</v>
      </c>
      <c r="K6" s="15" t="n">
        <f aca="false">'The Split'!$C$8*G6</f>
        <v>90</v>
      </c>
      <c r="L6" s="15" t="n">
        <f aca="false">G6-H6-I6-J6-K6</f>
        <v>100</v>
      </c>
      <c r="M6" s="14" t="n">
        <f aca="false">'The Split'!$C$15+K6</f>
        <v>1090</v>
      </c>
      <c r="N6" s="16" t="str">
        <f aca="false">IF(G6&gt;=1.25*AVERAGE($G$6:$G$17),"FAT",IF(G6&lt;=0.75*AVERAGE($G$6:$G$17),"LEAN","—"))</f>
        <v>LEAN</v>
      </c>
    </row>
    <row r="7" customFormat="false" ht="15" hidden="false" customHeight="false" outlineLevel="0" collapsed="false">
      <c r="B7" s="7" t="s">
        <v>52</v>
      </c>
      <c r="C7" s="11" t="n">
        <v>0</v>
      </c>
      <c r="D7" s="11" t="n">
        <v>0</v>
      </c>
      <c r="E7" s="11" t="n">
        <v>120</v>
      </c>
      <c r="F7" s="11" t="n">
        <v>300</v>
      </c>
      <c r="G7" s="14" t="n">
        <f aca="false">SUM(C7:F7)</f>
        <v>420</v>
      </c>
      <c r="H7" s="11" t="n">
        <v>300</v>
      </c>
      <c r="I7" s="15" t="n">
        <f aca="false">'The Split'!$C$6*G7</f>
        <v>105</v>
      </c>
      <c r="J7" s="15" t="n">
        <f aca="false">'The Split'!$C$7*G7</f>
        <v>63</v>
      </c>
      <c r="K7" s="15" t="n">
        <f aca="false">'The Split'!$C$8*G7</f>
        <v>42</v>
      </c>
      <c r="L7" s="15" t="n">
        <f aca="false">G7-H7-I7-J7-K7</f>
        <v>-90</v>
      </c>
      <c r="M7" s="14" t="n">
        <f aca="false">M6+K7</f>
        <v>1132</v>
      </c>
      <c r="N7" s="16" t="str">
        <f aca="false">IF(G7&gt;=1.25*AVERAGE($G$6:$G$17),"FAT",IF(G7&lt;=0.75*AVERAGE($G$6:$G$17),"LEAN","—"))</f>
        <v>LEAN</v>
      </c>
    </row>
    <row r="8" customFormat="false" ht="15" hidden="false" customHeight="false" outlineLevel="0" collapsed="false">
      <c r="B8" s="7" t="s">
        <v>53</v>
      </c>
      <c r="C8" s="11" t="n">
        <v>1200</v>
      </c>
      <c r="D8" s="11" t="n">
        <v>300</v>
      </c>
      <c r="E8" s="11" t="n">
        <v>130</v>
      </c>
      <c r="F8" s="11" t="n">
        <v>300</v>
      </c>
      <c r="G8" s="14" t="n">
        <f aca="false">SUM(C8:F8)</f>
        <v>1930</v>
      </c>
      <c r="H8" s="11" t="n">
        <v>700</v>
      </c>
      <c r="I8" s="15" t="n">
        <f aca="false">'The Split'!$C$6*G8</f>
        <v>482.5</v>
      </c>
      <c r="J8" s="15" t="n">
        <f aca="false">'The Split'!$C$7*G8</f>
        <v>289.5</v>
      </c>
      <c r="K8" s="15" t="n">
        <f aca="false">'The Split'!$C$8*G8</f>
        <v>193</v>
      </c>
      <c r="L8" s="15" t="n">
        <f aca="false">G8-H8-I8-J8-K8</f>
        <v>265</v>
      </c>
      <c r="M8" s="14" t="n">
        <f aca="false">M7+K8</f>
        <v>1325</v>
      </c>
      <c r="N8" s="16" t="str">
        <f aca="false">IF(G8&gt;=1.25*AVERAGE($G$6:$G$17),"FAT",IF(G8&lt;=0.75*AVERAGE($G$6:$G$17),"LEAN","—"))</f>
        <v>—</v>
      </c>
    </row>
    <row r="9" customFormat="false" ht="15" hidden="false" customHeight="false" outlineLevel="0" collapsed="false">
      <c r="B9" s="7" t="s">
        <v>54</v>
      </c>
      <c r="C9" s="11" t="n">
        <v>800</v>
      </c>
      <c r="D9" s="11" t="n">
        <v>200</v>
      </c>
      <c r="E9" s="11" t="n">
        <v>125</v>
      </c>
      <c r="F9" s="11" t="n">
        <v>300</v>
      </c>
      <c r="G9" s="14" t="n">
        <f aca="false">SUM(C9:F9)</f>
        <v>1425</v>
      </c>
      <c r="H9" s="11" t="n">
        <v>500</v>
      </c>
      <c r="I9" s="15" t="n">
        <f aca="false">'The Split'!$C$6*G9</f>
        <v>356.25</v>
      </c>
      <c r="J9" s="15" t="n">
        <f aca="false">'The Split'!$C$7*G9</f>
        <v>213.75</v>
      </c>
      <c r="K9" s="15" t="n">
        <f aca="false">'The Split'!$C$8*G9</f>
        <v>142.5</v>
      </c>
      <c r="L9" s="15" t="n">
        <f aca="false">G9-H9-I9-J9-K9</f>
        <v>212.5</v>
      </c>
      <c r="M9" s="14" t="n">
        <f aca="false">M8+K9</f>
        <v>1467.5</v>
      </c>
      <c r="N9" s="16" t="str">
        <f aca="false">IF(G9&gt;=1.25*AVERAGE($G$6:$G$17),"FAT",IF(G9&lt;=0.75*AVERAGE($G$6:$G$17),"LEAN","—"))</f>
        <v>LEAN</v>
      </c>
    </row>
    <row r="10" customFormat="false" ht="15" hidden="false" customHeight="false" outlineLevel="0" collapsed="false">
      <c r="B10" s="7" t="s">
        <v>55</v>
      </c>
      <c r="C10" s="11" t="n">
        <v>1500</v>
      </c>
      <c r="D10" s="11" t="n">
        <v>450</v>
      </c>
      <c r="E10" s="11" t="n">
        <v>140</v>
      </c>
      <c r="F10" s="11" t="n">
        <v>0</v>
      </c>
      <c r="G10" s="14" t="n">
        <f aca="false">SUM(C10:F10)</f>
        <v>2090</v>
      </c>
      <c r="H10" s="11" t="n">
        <v>800</v>
      </c>
      <c r="I10" s="15" t="n">
        <f aca="false">'The Split'!$C$6*G10</f>
        <v>522.5</v>
      </c>
      <c r="J10" s="15" t="n">
        <f aca="false">'The Split'!$C$7*G10</f>
        <v>313.5</v>
      </c>
      <c r="K10" s="15" t="n">
        <f aca="false">'The Split'!$C$8*G10</f>
        <v>209</v>
      </c>
      <c r="L10" s="15" t="n">
        <f aca="false">G10-H10-I10-J10-K10</f>
        <v>245</v>
      </c>
      <c r="M10" s="14" t="n">
        <f aca="false">M9+K10</f>
        <v>1676.5</v>
      </c>
      <c r="N10" s="16" t="str">
        <f aca="false">IF(G10&gt;=1.25*AVERAGE($G$6:$G$17),"FAT",IF(G10&lt;=0.75*AVERAGE($G$6:$G$17),"LEAN","—"))</f>
        <v>—</v>
      </c>
    </row>
    <row r="11" customFormat="false" ht="15" hidden="false" customHeight="false" outlineLevel="0" collapsed="false">
      <c r="B11" s="7" t="s">
        <v>56</v>
      </c>
      <c r="C11" s="11" t="n">
        <v>2600</v>
      </c>
      <c r="D11" s="11" t="n">
        <v>900</v>
      </c>
      <c r="E11" s="11" t="n">
        <v>150</v>
      </c>
      <c r="F11" s="11" t="n">
        <v>0</v>
      </c>
      <c r="G11" s="14" t="n">
        <f aca="false">SUM(C11:F11)</f>
        <v>3650</v>
      </c>
      <c r="H11" s="11" t="n">
        <v>1300</v>
      </c>
      <c r="I11" s="15" t="n">
        <f aca="false">'The Split'!$C$6*G11</f>
        <v>912.5</v>
      </c>
      <c r="J11" s="15" t="n">
        <f aca="false">'The Split'!$C$7*G11</f>
        <v>547.5</v>
      </c>
      <c r="K11" s="15" t="n">
        <f aca="false">'The Split'!$C$8*G11</f>
        <v>365</v>
      </c>
      <c r="L11" s="15" t="n">
        <f aca="false">G11-H11-I11-J11-K11</f>
        <v>525</v>
      </c>
      <c r="M11" s="14" t="n">
        <f aca="false">M10+K11</f>
        <v>2041.5</v>
      </c>
      <c r="N11" s="16" t="str">
        <f aca="false">IF(G11&gt;=1.25*AVERAGE($G$6:$G$17),"FAT",IF(G11&lt;=0.75*AVERAGE($G$6:$G$17),"LEAN","—"))</f>
        <v>FAT</v>
      </c>
    </row>
    <row r="12" customFormat="false" ht="15" hidden="false" customHeight="false" outlineLevel="0" collapsed="false">
      <c r="B12" s="7" t="s">
        <v>57</v>
      </c>
      <c r="C12" s="11" t="n">
        <v>1800</v>
      </c>
      <c r="D12" s="11" t="n">
        <v>600</v>
      </c>
      <c r="E12" s="11" t="n">
        <v>160</v>
      </c>
      <c r="F12" s="11" t="n">
        <v>0</v>
      </c>
      <c r="G12" s="14" t="n">
        <f aca="false">SUM(C12:F12)</f>
        <v>2560</v>
      </c>
      <c r="H12" s="11" t="n">
        <v>1000</v>
      </c>
      <c r="I12" s="15" t="n">
        <f aca="false">'The Split'!$C$6*G12</f>
        <v>640</v>
      </c>
      <c r="J12" s="15" t="n">
        <f aca="false">'The Split'!$C$7*G12</f>
        <v>384</v>
      </c>
      <c r="K12" s="15" t="n">
        <f aca="false">'The Split'!$C$8*G12</f>
        <v>256</v>
      </c>
      <c r="L12" s="15" t="n">
        <f aca="false">G12-H12-I12-J12-K12</f>
        <v>280</v>
      </c>
      <c r="M12" s="14" t="n">
        <f aca="false">M11+K12</f>
        <v>2297.5</v>
      </c>
      <c r="N12" s="16" t="str">
        <f aca="false">IF(G12&gt;=1.25*AVERAGE($G$6:$G$17),"FAT",IF(G12&lt;=0.75*AVERAGE($G$6:$G$17),"LEAN","—"))</f>
        <v>—</v>
      </c>
    </row>
    <row r="13" customFormat="false" ht="15" hidden="false" customHeight="false" outlineLevel="0" collapsed="false">
      <c r="B13" s="7" t="s">
        <v>58</v>
      </c>
      <c r="C13" s="11" t="n">
        <v>3200</v>
      </c>
      <c r="D13" s="11" t="n">
        <v>1100</v>
      </c>
      <c r="E13" s="11" t="n">
        <v>170</v>
      </c>
      <c r="F13" s="11" t="n">
        <v>0</v>
      </c>
      <c r="G13" s="14" t="n">
        <f aca="false">SUM(C13:F13)</f>
        <v>4470</v>
      </c>
      <c r="H13" s="11" t="n">
        <v>1500</v>
      </c>
      <c r="I13" s="15" t="n">
        <f aca="false">'The Split'!$C$6*G13</f>
        <v>1117.5</v>
      </c>
      <c r="J13" s="15" t="n">
        <f aca="false">'The Split'!$C$7*G13</f>
        <v>670.5</v>
      </c>
      <c r="K13" s="15" t="n">
        <f aca="false">'The Split'!$C$8*G13</f>
        <v>447</v>
      </c>
      <c r="L13" s="15" t="n">
        <f aca="false">G13-H13-I13-J13-K13</f>
        <v>735</v>
      </c>
      <c r="M13" s="14" t="n">
        <f aca="false">M12+K13</f>
        <v>2744.5</v>
      </c>
      <c r="N13" s="16" t="str">
        <f aca="false">IF(G13&gt;=1.25*AVERAGE($G$6:$G$17),"FAT",IF(G13&lt;=0.75*AVERAGE($G$6:$G$17),"LEAN","—"))</f>
        <v>FAT</v>
      </c>
    </row>
    <row r="14" customFormat="false" ht="15" hidden="false" customHeight="false" outlineLevel="0" collapsed="false">
      <c r="B14" s="7" t="s">
        <v>59</v>
      </c>
      <c r="C14" s="11" t="n">
        <v>900</v>
      </c>
      <c r="D14" s="11" t="n">
        <v>250</v>
      </c>
      <c r="E14" s="11" t="n">
        <v>150</v>
      </c>
      <c r="F14" s="11" t="n">
        <v>300</v>
      </c>
      <c r="G14" s="14" t="n">
        <f aca="false">SUM(C14:F14)</f>
        <v>1600</v>
      </c>
      <c r="H14" s="11" t="n">
        <v>500</v>
      </c>
      <c r="I14" s="15" t="n">
        <f aca="false">'The Split'!$C$6*G14</f>
        <v>400</v>
      </c>
      <c r="J14" s="15" t="n">
        <f aca="false">'The Split'!$C$7*G14</f>
        <v>240</v>
      </c>
      <c r="K14" s="15" t="n">
        <f aca="false">'The Split'!$C$8*G14</f>
        <v>160</v>
      </c>
      <c r="L14" s="15" t="n">
        <f aca="false">G14-H14-I14-J14-K14</f>
        <v>300</v>
      </c>
      <c r="M14" s="14" t="n">
        <f aca="false">M13+K14</f>
        <v>2904.5</v>
      </c>
      <c r="N14" s="16" t="str">
        <f aca="false">IF(G14&gt;=1.25*AVERAGE($G$6:$G$17),"FAT",IF(G14&lt;=0.75*AVERAGE($G$6:$G$17),"LEAN","—"))</f>
        <v>LEAN</v>
      </c>
    </row>
    <row r="15" customFormat="false" ht="15" hidden="false" customHeight="false" outlineLevel="0" collapsed="false">
      <c r="B15" s="7" t="s">
        <v>60</v>
      </c>
      <c r="C15" s="11" t="n">
        <v>1400</v>
      </c>
      <c r="D15" s="11" t="n">
        <v>400</v>
      </c>
      <c r="E15" s="11" t="n">
        <v>155</v>
      </c>
      <c r="F15" s="11" t="n">
        <v>300</v>
      </c>
      <c r="G15" s="14" t="n">
        <f aca="false">SUM(C15:F15)</f>
        <v>2255</v>
      </c>
      <c r="H15" s="11" t="n">
        <v>700</v>
      </c>
      <c r="I15" s="15" t="n">
        <f aca="false">'The Split'!$C$6*G15</f>
        <v>563.75</v>
      </c>
      <c r="J15" s="15" t="n">
        <f aca="false">'The Split'!$C$7*G15</f>
        <v>338.25</v>
      </c>
      <c r="K15" s="15" t="n">
        <f aca="false">'The Split'!$C$8*G15</f>
        <v>225.5</v>
      </c>
      <c r="L15" s="15" t="n">
        <f aca="false">G15-H15-I15-J15-K15</f>
        <v>427.5</v>
      </c>
      <c r="M15" s="14" t="n">
        <f aca="false">M14+K15</f>
        <v>3130</v>
      </c>
      <c r="N15" s="16" t="str">
        <f aca="false">IF(G15&gt;=1.25*AVERAGE($G$6:$G$17),"FAT",IF(G15&lt;=0.75*AVERAGE($G$6:$G$17),"LEAN","—"))</f>
        <v>—</v>
      </c>
    </row>
    <row r="16" customFormat="false" ht="15" hidden="false" customHeight="false" outlineLevel="0" collapsed="false">
      <c r="B16" s="7" t="s">
        <v>61</v>
      </c>
      <c r="C16" s="11" t="n">
        <v>2000</v>
      </c>
      <c r="D16" s="11" t="n">
        <v>650</v>
      </c>
      <c r="E16" s="11" t="n">
        <v>160</v>
      </c>
      <c r="F16" s="11" t="n">
        <v>300</v>
      </c>
      <c r="G16" s="14" t="n">
        <f aca="false">SUM(C16:F16)</f>
        <v>3110</v>
      </c>
      <c r="H16" s="11" t="n">
        <v>900</v>
      </c>
      <c r="I16" s="15" t="n">
        <f aca="false">'The Split'!$C$6*G16</f>
        <v>777.5</v>
      </c>
      <c r="J16" s="15" t="n">
        <f aca="false">'The Split'!$C$7*G16</f>
        <v>466.5</v>
      </c>
      <c r="K16" s="15" t="n">
        <f aca="false">'The Split'!$C$8*G16</f>
        <v>311</v>
      </c>
      <c r="L16" s="15" t="n">
        <f aca="false">G16-H16-I16-J16-K16</f>
        <v>655</v>
      </c>
      <c r="M16" s="14" t="n">
        <f aca="false">M15+K16</f>
        <v>3441</v>
      </c>
      <c r="N16" s="16" t="str">
        <f aca="false">IF(G16&gt;=1.25*AVERAGE($G$6:$G$17),"FAT",IF(G16&lt;=0.75*AVERAGE($G$6:$G$17),"LEAN","—"))</f>
        <v>FAT</v>
      </c>
    </row>
    <row r="17" customFormat="false" ht="15" hidden="false" customHeight="false" outlineLevel="0" collapsed="false">
      <c r="B17" s="7" t="s">
        <v>62</v>
      </c>
      <c r="C17" s="11" t="n">
        <v>600</v>
      </c>
      <c r="D17" s="11" t="n">
        <v>150</v>
      </c>
      <c r="E17" s="11" t="n">
        <v>165</v>
      </c>
      <c r="F17" s="11" t="n">
        <v>300</v>
      </c>
      <c r="G17" s="14" t="n">
        <f aca="false">SUM(C17:F17)</f>
        <v>1215</v>
      </c>
      <c r="H17" s="11" t="n">
        <v>400</v>
      </c>
      <c r="I17" s="15" t="n">
        <f aca="false">'The Split'!$C$6*G17</f>
        <v>303.75</v>
      </c>
      <c r="J17" s="15" t="n">
        <f aca="false">'The Split'!$C$7*G17</f>
        <v>182.25</v>
      </c>
      <c r="K17" s="15" t="n">
        <f aca="false">'The Split'!$C$8*G17</f>
        <v>121.5</v>
      </c>
      <c r="L17" s="15" t="n">
        <f aca="false">G17-H17-I17-J17-K17</f>
        <v>207.5</v>
      </c>
      <c r="M17" s="14" t="n">
        <f aca="false">M16+K17</f>
        <v>3562.5</v>
      </c>
      <c r="N17" s="16" t="str">
        <f aca="false">IF(G17&gt;=1.25*AVERAGE($G$6:$G$17),"FAT",IF(G17&lt;=0.75*AVERAGE($G$6:$G$17),"LEAN","—"))</f>
        <v>LEAN</v>
      </c>
    </row>
    <row r="18" customFormat="false" ht="15" hidden="false" customHeight="false" outlineLevel="0" collapsed="false">
      <c r="B18" s="7" t="s">
        <v>63</v>
      </c>
      <c r="C18" s="17" t="n">
        <f aca="false">SUM(C6:C17)</f>
        <v>16400</v>
      </c>
      <c r="D18" s="17" t="n">
        <f aca="false">SUM(D6:D17)</f>
        <v>5080</v>
      </c>
      <c r="E18" s="17" t="n">
        <f aca="false">SUM(E6:E17)</f>
        <v>1745</v>
      </c>
      <c r="F18" s="17" t="n">
        <f aca="false">SUM(F6:F17)</f>
        <v>2400</v>
      </c>
      <c r="G18" s="17" t="n">
        <f aca="false">SUM(G6:G17)</f>
        <v>25625</v>
      </c>
      <c r="H18" s="17" t="n">
        <f aca="false">SUM(H6:H17)</f>
        <v>8950</v>
      </c>
      <c r="I18" s="17" t="n">
        <f aca="false">SUM(I6:I17)</f>
        <v>6406.25</v>
      </c>
      <c r="J18" s="17" t="n">
        <f aca="false">SUM(J6:J17)</f>
        <v>3843.75</v>
      </c>
      <c r="K18" s="17" t="n">
        <f aca="false">SUM(K6:K17)</f>
        <v>2562.5</v>
      </c>
      <c r="L18" s="17" t="n">
        <f aca="false">SUM(L6:L17)</f>
        <v>3862.5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3"/>
  </cols>
  <sheetData>
    <row r="2" customFormat="false" ht="19.7" hidden="false" customHeight="false" outlineLevel="0" collapsed="false">
      <c r="B2" s="5" t="s">
        <v>64</v>
      </c>
    </row>
    <row r="3" customFormat="false" ht="15" hidden="false" customHeight="false" outlineLevel="0" collapsed="false">
      <c r="B3" s="2" t="s">
        <v>65</v>
      </c>
    </row>
    <row r="5" customFormat="false" ht="35.05" hidden="false" customHeight="false" outlineLevel="0" collapsed="false">
      <c r="B5" s="13" t="s">
        <v>66</v>
      </c>
      <c r="C5" s="13" t="s">
        <v>67</v>
      </c>
      <c r="D5" s="13" t="s">
        <v>68</v>
      </c>
      <c r="E5" s="13" t="s">
        <v>69</v>
      </c>
      <c r="F5" s="13" t="s">
        <v>70</v>
      </c>
      <c r="G5" s="13" t="s">
        <v>71</v>
      </c>
      <c r="H5" s="13" t="s">
        <v>72</v>
      </c>
      <c r="I5" s="13" t="s">
        <v>73</v>
      </c>
      <c r="J5" s="13" t="s">
        <v>74</v>
      </c>
      <c r="K5" s="13" t="s">
        <v>75</v>
      </c>
    </row>
    <row r="6" customFormat="false" ht="15" hidden="false" customHeight="false" outlineLevel="0" collapsed="false">
      <c r="B6" s="12" t="s">
        <v>76</v>
      </c>
      <c r="C6" s="12" t="s">
        <v>77</v>
      </c>
      <c r="D6" s="12" t="s">
        <v>78</v>
      </c>
      <c r="E6" s="11" t="n">
        <v>250</v>
      </c>
      <c r="F6" s="11" t="n">
        <v>180</v>
      </c>
      <c r="G6" s="11" t="n">
        <v>320</v>
      </c>
      <c r="H6" s="8" t="n">
        <v>0.1</v>
      </c>
      <c r="I6" s="11" t="n">
        <v>120</v>
      </c>
      <c r="J6" s="15" t="n">
        <f aca="false">G6*H6</f>
        <v>32</v>
      </c>
      <c r="K6" s="15" t="n">
        <f aca="false">E6+F6+G6-J6-I6</f>
        <v>598</v>
      </c>
    </row>
    <row r="7" customFormat="false" ht="15" hidden="false" customHeight="false" outlineLevel="0" collapsed="false">
      <c r="B7" s="12"/>
      <c r="C7" s="12"/>
      <c r="D7" s="12"/>
      <c r="E7" s="11"/>
      <c r="F7" s="11"/>
      <c r="G7" s="11"/>
      <c r="H7" s="8"/>
      <c r="I7" s="11"/>
      <c r="J7" s="18" t="str">
        <f aca="false">IF($C7="","",G7*H7)</f>
        <v/>
      </c>
      <c r="K7" s="18" t="str">
        <f aca="false">IF($C7="","",E7+F7+G7-J7-I7)</f>
        <v/>
      </c>
    </row>
    <row r="8" customFormat="false" ht="15" hidden="false" customHeight="false" outlineLevel="0" collapsed="false">
      <c r="B8" s="12"/>
      <c r="C8" s="12"/>
      <c r="D8" s="12"/>
      <c r="E8" s="11"/>
      <c r="F8" s="11"/>
      <c r="G8" s="11"/>
      <c r="H8" s="8"/>
      <c r="I8" s="11"/>
      <c r="J8" s="18" t="str">
        <f aca="false">IF($C8="","",G8*H8)</f>
        <v/>
      </c>
      <c r="K8" s="18" t="str">
        <f aca="false">IF($C8="","",E8+F8+G8-J8-I8)</f>
        <v/>
      </c>
    </row>
    <row r="9" customFormat="false" ht="15" hidden="false" customHeight="false" outlineLevel="0" collapsed="false">
      <c r="B9" s="12"/>
      <c r="C9" s="12"/>
      <c r="D9" s="12"/>
      <c r="E9" s="11"/>
      <c r="F9" s="11"/>
      <c r="G9" s="11"/>
      <c r="H9" s="8"/>
      <c r="I9" s="11"/>
      <c r="J9" s="18" t="str">
        <f aca="false">IF($C9="","",G9*H9)</f>
        <v/>
      </c>
      <c r="K9" s="18" t="str">
        <f aca="false">IF($C9="","",E9+F9+G9-J9-I9)</f>
        <v/>
      </c>
    </row>
    <row r="10" customFormat="false" ht="15" hidden="false" customHeight="false" outlineLevel="0" collapsed="false">
      <c r="B10" s="12"/>
      <c r="C10" s="12"/>
      <c r="D10" s="12"/>
      <c r="E10" s="11"/>
      <c r="F10" s="11"/>
      <c r="G10" s="11"/>
      <c r="H10" s="8"/>
      <c r="I10" s="11"/>
      <c r="J10" s="18" t="str">
        <f aca="false">IF($C10="","",G10*H10)</f>
        <v/>
      </c>
      <c r="K10" s="18" t="str">
        <f aca="false">IF($C10="","",E10+F10+G10-J10-I10)</f>
        <v/>
      </c>
    </row>
    <row r="11" customFormat="false" ht="15" hidden="false" customHeight="false" outlineLevel="0" collapsed="false">
      <c r="B11" s="12"/>
      <c r="C11" s="12"/>
      <c r="D11" s="12"/>
      <c r="E11" s="11"/>
      <c r="F11" s="11"/>
      <c r="G11" s="11"/>
      <c r="H11" s="8"/>
      <c r="I11" s="11"/>
      <c r="J11" s="18" t="str">
        <f aca="false">IF($C11="","",G11*H11)</f>
        <v/>
      </c>
      <c r="K11" s="18" t="str">
        <f aca="false">IF($C11="","",E11+F11+G11-J11-I11)</f>
        <v/>
      </c>
    </row>
    <row r="12" customFormat="false" ht="15" hidden="false" customHeight="false" outlineLevel="0" collapsed="false">
      <c r="B12" s="12"/>
      <c r="C12" s="12"/>
      <c r="D12" s="12"/>
      <c r="E12" s="11"/>
      <c r="F12" s="11"/>
      <c r="G12" s="11"/>
      <c r="H12" s="8"/>
      <c r="I12" s="11"/>
      <c r="J12" s="18" t="str">
        <f aca="false">IF($C12="","",G12*H12)</f>
        <v/>
      </c>
      <c r="K12" s="18" t="str">
        <f aca="false">IF($C12="","",E12+F12+G12-J12-I12)</f>
        <v/>
      </c>
    </row>
    <row r="13" customFormat="false" ht="15" hidden="false" customHeight="false" outlineLevel="0" collapsed="false">
      <c r="B13" s="12"/>
      <c r="C13" s="12"/>
      <c r="D13" s="12"/>
      <c r="E13" s="11"/>
      <c r="F13" s="11"/>
      <c r="G13" s="11"/>
      <c r="H13" s="8"/>
      <c r="I13" s="11"/>
      <c r="J13" s="18" t="str">
        <f aca="false">IF($C13="","",G13*H13)</f>
        <v/>
      </c>
      <c r="K13" s="18" t="str">
        <f aca="false">IF($C13="","",E13+F13+G13-J13-I13)</f>
        <v/>
      </c>
    </row>
    <row r="14" customFormat="false" ht="15" hidden="false" customHeight="false" outlineLevel="0" collapsed="false">
      <c r="B14" s="12"/>
      <c r="C14" s="12"/>
      <c r="D14" s="12"/>
      <c r="E14" s="11"/>
      <c r="F14" s="11"/>
      <c r="G14" s="11"/>
      <c r="H14" s="8"/>
      <c r="I14" s="11"/>
      <c r="J14" s="18" t="str">
        <f aca="false">IF($C14="","",G14*H14)</f>
        <v/>
      </c>
      <c r="K14" s="18" t="str">
        <f aca="false">IF($C14="","",E14+F14+G14-J14-I14)</f>
        <v/>
      </c>
    </row>
    <row r="15" customFormat="false" ht="15" hidden="false" customHeight="false" outlineLevel="0" collapsed="false">
      <c r="B15" s="12"/>
      <c r="C15" s="12"/>
      <c r="D15" s="12"/>
      <c r="E15" s="11"/>
      <c r="F15" s="11"/>
      <c r="G15" s="11"/>
      <c r="H15" s="8"/>
      <c r="I15" s="11"/>
      <c r="J15" s="18" t="str">
        <f aca="false">IF($C15="","",G15*H15)</f>
        <v/>
      </c>
      <c r="K15" s="18" t="str">
        <f aca="false">IF($C15="","",E15+F15+G15-J15-I15)</f>
        <v/>
      </c>
    </row>
    <row r="16" customFormat="false" ht="15" hidden="false" customHeight="false" outlineLevel="0" collapsed="false">
      <c r="B16" s="12"/>
      <c r="C16" s="12"/>
      <c r="D16" s="12"/>
      <c r="E16" s="11"/>
      <c r="F16" s="11"/>
      <c r="G16" s="11"/>
      <c r="H16" s="8"/>
      <c r="I16" s="11"/>
      <c r="J16" s="18" t="str">
        <f aca="false">IF($C16="","",G16*H16)</f>
        <v/>
      </c>
      <c r="K16" s="18" t="str">
        <f aca="false">IF($C16="","",E16+F16+G16-J16-I16)</f>
        <v/>
      </c>
    </row>
    <row r="17" customFormat="false" ht="15" hidden="false" customHeight="false" outlineLevel="0" collapsed="false">
      <c r="B17" s="12"/>
      <c r="C17" s="12"/>
      <c r="D17" s="12"/>
      <c r="E17" s="11"/>
      <c r="F17" s="11"/>
      <c r="G17" s="11"/>
      <c r="H17" s="8"/>
      <c r="I17" s="11"/>
      <c r="J17" s="18" t="str">
        <f aca="false">IF($C17="","",G17*H17)</f>
        <v/>
      </c>
      <c r="K17" s="18" t="str">
        <f aca="false">IF($C17="","",E17+F17+G17-J17-I17)</f>
        <v/>
      </c>
    </row>
    <row r="18" customFormat="false" ht="15" hidden="false" customHeight="false" outlineLevel="0" collapsed="false">
      <c r="B18" s="12"/>
      <c r="C18" s="12"/>
      <c r="D18" s="12"/>
      <c r="E18" s="11"/>
      <c r="F18" s="11"/>
      <c r="G18" s="11"/>
      <c r="H18" s="8"/>
      <c r="I18" s="11"/>
      <c r="J18" s="18" t="str">
        <f aca="false">IF($C18="","",G18*H18)</f>
        <v/>
      </c>
      <c r="K18" s="18" t="str">
        <f aca="false">IF($C18="","",E18+F18+G18-J18-I18)</f>
        <v/>
      </c>
    </row>
    <row r="19" customFormat="false" ht="15" hidden="false" customHeight="false" outlineLevel="0" collapsed="false">
      <c r="B19" s="12"/>
      <c r="C19" s="12"/>
      <c r="D19" s="12"/>
      <c r="E19" s="11"/>
      <c r="F19" s="11"/>
      <c r="G19" s="11"/>
      <c r="H19" s="8"/>
      <c r="I19" s="11"/>
      <c r="J19" s="18" t="str">
        <f aca="false">IF($C19="","",G19*H19)</f>
        <v/>
      </c>
      <c r="K19" s="18" t="str">
        <f aca="false">IF($C19="","",E19+F19+G19-J19-I19)</f>
        <v/>
      </c>
    </row>
    <row r="20" customFormat="false" ht="15" hidden="false" customHeight="false" outlineLevel="0" collapsed="false">
      <c r="B20" s="12"/>
      <c r="C20" s="12"/>
      <c r="D20" s="12"/>
      <c r="E20" s="11"/>
      <c r="F20" s="11"/>
      <c r="G20" s="11"/>
      <c r="H20" s="8"/>
      <c r="I20" s="11"/>
      <c r="J20" s="18" t="str">
        <f aca="false">IF($C20="","",G20*H20)</f>
        <v/>
      </c>
      <c r="K20" s="18" t="str">
        <f aca="false">IF($C20="","",E20+F20+G20-J20-I20)</f>
        <v/>
      </c>
    </row>
    <row r="21" customFormat="false" ht="15" hidden="false" customHeight="false" outlineLevel="0" collapsed="false">
      <c r="B21" s="12"/>
      <c r="C21" s="12"/>
      <c r="D21" s="12"/>
      <c r="E21" s="11"/>
      <c r="F21" s="11"/>
      <c r="G21" s="11"/>
      <c r="H21" s="8"/>
      <c r="I21" s="11"/>
      <c r="J21" s="18" t="str">
        <f aca="false">IF($C21="","",G21*H21)</f>
        <v/>
      </c>
      <c r="K21" s="18" t="str">
        <f aca="false">IF($C21="","",E21+F21+G21-J21-I21)</f>
        <v/>
      </c>
    </row>
    <row r="22" customFormat="false" ht="15" hidden="false" customHeight="false" outlineLevel="0" collapsed="false">
      <c r="B22" s="12"/>
      <c r="C22" s="12"/>
      <c r="D22" s="12"/>
      <c r="E22" s="11"/>
      <c r="F22" s="11"/>
      <c r="G22" s="11"/>
      <c r="H22" s="8"/>
      <c r="I22" s="11"/>
      <c r="J22" s="18" t="str">
        <f aca="false">IF($C22="","",G22*H22)</f>
        <v/>
      </c>
      <c r="K22" s="18" t="str">
        <f aca="false">IF($C22="","",E22+F22+G22-J22-I22)</f>
        <v/>
      </c>
    </row>
    <row r="23" customFormat="false" ht="15" hidden="false" customHeight="false" outlineLevel="0" collapsed="false">
      <c r="B23" s="12"/>
      <c r="C23" s="12"/>
      <c r="D23" s="12"/>
      <c r="E23" s="11"/>
      <c r="F23" s="11"/>
      <c r="G23" s="11"/>
      <c r="H23" s="8"/>
      <c r="I23" s="11"/>
      <c r="J23" s="18" t="str">
        <f aca="false">IF($C23="","",G23*H23)</f>
        <v/>
      </c>
      <c r="K23" s="18" t="str">
        <f aca="false">IF($C23="","",E23+F23+G23-J23-I23)</f>
        <v/>
      </c>
    </row>
    <row r="24" customFormat="false" ht="15" hidden="false" customHeight="false" outlineLevel="0" collapsed="false">
      <c r="B24" s="12"/>
      <c r="C24" s="12"/>
      <c r="D24" s="12"/>
      <c r="E24" s="11"/>
      <c r="F24" s="11"/>
      <c r="G24" s="11"/>
      <c r="H24" s="8"/>
      <c r="I24" s="11"/>
      <c r="J24" s="18" t="str">
        <f aca="false">IF($C24="","",G24*H24)</f>
        <v/>
      </c>
      <c r="K24" s="18" t="str">
        <f aca="false">IF($C24="","",E24+F24+G24-J24-I24)</f>
        <v/>
      </c>
    </row>
    <row r="25" customFormat="false" ht="15" hidden="false" customHeight="false" outlineLevel="0" collapsed="false">
      <c r="B25" s="12"/>
      <c r="C25" s="12"/>
      <c r="D25" s="12"/>
      <c r="E25" s="11"/>
      <c r="F25" s="11"/>
      <c r="G25" s="11"/>
      <c r="H25" s="8"/>
      <c r="I25" s="11"/>
      <c r="J25" s="18" t="str">
        <f aca="false">IF($C25="","",G25*H25)</f>
        <v/>
      </c>
      <c r="K25" s="18" t="str">
        <f aca="false">IF($C25="","",E25+F25+G25-J25-I25)</f>
        <v/>
      </c>
    </row>
    <row r="26" customFormat="false" ht="15" hidden="false" customHeight="false" outlineLevel="0" collapsed="false">
      <c r="B26" s="12"/>
      <c r="C26" s="12"/>
      <c r="D26" s="12"/>
      <c r="E26" s="11"/>
      <c r="F26" s="11"/>
      <c r="G26" s="11"/>
      <c r="H26" s="8"/>
      <c r="I26" s="11"/>
      <c r="J26" s="18" t="str">
        <f aca="false">IF($C26="","",G26*H26)</f>
        <v/>
      </c>
      <c r="K26" s="18" t="str">
        <f aca="false">IF($C26="","",E26+F26+G26-J26-I26)</f>
        <v/>
      </c>
    </row>
    <row r="27" customFormat="false" ht="15" hidden="false" customHeight="false" outlineLevel="0" collapsed="false">
      <c r="B27" s="12"/>
      <c r="C27" s="12"/>
      <c r="D27" s="12"/>
      <c r="E27" s="11"/>
      <c r="F27" s="11"/>
      <c r="G27" s="11"/>
      <c r="H27" s="8"/>
      <c r="I27" s="11"/>
      <c r="J27" s="18" t="str">
        <f aca="false">IF($C27="","",G27*H27)</f>
        <v/>
      </c>
      <c r="K27" s="18" t="str">
        <f aca="false">IF($C27="","",E27+F27+G27-J27-I27)</f>
        <v/>
      </c>
    </row>
    <row r="28" customFormat="false" ht="15" hidden="false" customHeight="false" outlineLevel="0" collapsed="false">
      <c r="B28" s="12"/>
      <c r="C28" s="12"/>
      <c r="D28" s="12"/>
      <c r="E28" s="11"/>
      <c r="F28" s="11"/>
      <c r="G28" s="11"/>
      <c r="H28" s="8"/>
      <c r="I28" s="11"/>
      <c r="J28" s="18" t="str">
        <f aca="false">IF($C28="","",G28*H28)</f>
        <v/>
      </c>
      <c r="K28" s="18" t="str">
        <f aca="false">IF($C28="","",E28+F28+G28-J28-I28)</f>
        <v/>
      </c>
    </row>
    <row r="29" customFormat="false" ht="15" hidden="false" customHeight="false" outlineLevel="0" collapsed="false">
      <c r="B29" s="12"/>
      <c r="C29" s="12"/>
      <c r="D29" s="12"/>
      <c r="E29" s="11"/>
      <c r="F29" s="11"/>
      <c r="G29" s="11"/>
      <c r="H29" s="8"/>
      <c r="I29" s="11"/>
      <c r="J29" s="18" t="str">
        <f aca="false">IF($C29="","",G29*H29)</f>
        <v/>
      </c>
      <c r="K29" s="18" t="str">
        <f aca="false">IF($C29="","",E29+F29+G29-J29-I29)</f>
        <v/>
      </c>
    </row>
    <row r="30" customFormat="false" ht="15" hidden="false" customHeight="false" outlineLevel="0" collapsed="false">
      <c r="B30" s="12"/>
      <c r="C30" s="12"/>
      <c r="D30" s="12"/>
      <c r="E30" s="11"/>
      <c r="F30" s="11"/>
      <c r="G30" s="11"/>
      <c r="H30" s="8"/>
      <c r="I30" s="11"/>
      <c r="J30" s="18" t="str">
        <f aca="false">IF($C30="","",G30*H30)</f>
        <v/>
      </c>
      <c r="K30" s="18" t="str">
        <f aca="false">IF($C30="","",E30+F30+G30-J30-I30)</f>
        <v/>
      </c>
    </row>
    <row r="31" customFormat="false" ht="15" hidden="false" customHeight="false" outlineLevel="0" collapsed="false">
      <c r="B31" s="12"/>
      <c r="C31" s="12"/>
      <c r="D31" s="12"/>
      <c r="E31" s="11"/>
      <c r="F31" s="11"/>
      <c r="G31" s="11"/>
      <c r="H31" s="8"/>
      <c r="I31" s="11"/>
      <c r="J31" s="18" t="str">
        <f aca="false">IF($C31="","",G31*H31)</f>
        <v/>
      </c>
      <c r="K31" s="18" t="str">
        <f aca="false">IF($C31="","",E31+F31+G31-J31-I31)</f>
        <v/>
      </c>
    </row>
    <row r="32" customFormat="false" ht="15" hidden="false" customHeight="false" outlineLevel="0" collapsed="false">
      <c r="B32" s="12"/>
      <c r="C32" s="12"/>
      <c r="D32" s="12"/>
      <c r="E32" s="11"/>
      <c r="F32" s="11"/>
      <c r="G32" s="11"/>
      <c r="H32" s="8"/>
      <c r="I32" s="11"/>
      <c r="J32" s="18" t="str">
        <f aca="false">IF($C32="","",G32*H32)</f>
        <v/>
      </c>
      <c r="K32" s="18" t="str">
        <f aca="false">IF($C32="","",E32+F32+G32-J32-I32)</f>
        <v/>
      </c>
    </row>
    <row r="33" customFormat="false" ht="15" hidden="false" customHeight="false" outlineLevel="0" collapsed="false">
      <c r="B33" s="12"/>
      <c r="C33" s="12"/>
      <c r="D33" s="12"/>
      <c r="E33" s="11"/>
      <c r="F33" s="11"/>
      <c r="G33" s="11"/>
      <c r="H33" s="8"/>
      <c r="I33" s="11"/>
      <c r="J33" s="18" t="str">
        <f aca="false">IF($C33="","",G33*H33)</f>
        <v/>
      </c>
      <c r="K33" s="18" t="str">
        <f aca="false">IF($C33="","",E33+F33+G33-J33-I33)</f>
        <v/>
      </c>
    </row>
    <row r="34" customFormat="false" ht="15" hidden="false" customHeight="false" outlineLevel="0" collapsed="false">
      <c r="B34" s="12"/>
      <c r="C34" s="12"/>
      <c r="D34" s="12"/>
      <c r="E34" s="11"/>
      <c r="F34" s="11"/>
      <c r="G34" s="11"/>
      <c r="H34" s="8"/>
      <c r="I34" s="11"/>
      <c r="J34" s="18" t="str">
        <f aca="false">IF($C34="","",G34*H34)</f>
        <v/>
      </c>
      <c r="K34" s="18" t="str">
        <f aca="false">IF($C34="","",E34+F34+G34-J34-I34)</f>
        <v/>
      </c>
    </row>
    <row r="35" customFormat="false" ht="15" hidden="false" customHeight="false" outlineLevel="0" collapsed="false">
      <c r="B35" s="12"/>
      <c r="C35" s="12"/>
      <c r="D35" s="12"/>
      <c r="E35" s="11"/>
      <c r="F35" s="11"/>
      <c r="G35" s="11"/>
      <c r="H35" s="8"/>
      <c r="I35" s="11"/>
      <c r="J35" s="18" t="str">
        <f aca="false">IF($C35="","",G35*H35)</f>
        <v/>
      </c>
      <c r="K35" s="18" t="str">
        <f aca="false">IF($C35="","",E35+F35+G35-J35-I35)</f>
        <v/>
      </c>
    </row>
    <row r="37" customFormat="false" ht="15" hidden="false" customHeight="false" outlineLevel="0" collapsed="false">
      <c r="B37" s="7" t="s">
        <v>79</v>
      </c>
      <c r="E37" s="17" t="n">
        <f aca="false">SUM(E6:E35)</f>
        <v>250</v>
      </c>
      <c r="F37" s="17" t="n">
        <f aca="false">SUM(F6:F35)</f>
        <v>180</v>
      </c>
      <c r="G37" s="17" t="n">
        <f aca="false">SUM(G6:G35)</f>
        <v>320</v>
      </c>
      <c r="I37" s="17" t="n">
        <f aca="false">SUM(I6:I35)</f>
        <v>120</v>
      </c>
      <c r="J37" s="17" t="n">
        <f aca="false">SUM(J6:J35)</f>
        <v>32</v>
      </c>
      <c r="K37" s="17" t="n">
        <f aca="false">SUM(K6:K35)</f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10"/>
  </cols>
  <sheetData>
    <row r="2" customFormat="false" ht="19.7" hidden="false" customHeight="false" outlineLevel="0" collapsed="false">
      <c r="B2" s="5" t="s">
        <v>80</v>
      </c>
    </row>
    <row r="3" customFormat="false" ht="15" hidden="false" customHeight="false" outlineLevel="0" collapsed="false">
      <c r="B3" s="2" t="s">
        <v>81</v>
      </c>
    </row>
    <row r="5" customFormat="false" ht="23.85" hidden="false" customHeight="false" outlineLevel="0" collapsed="false">
      <c r="B5" s="13" t="s">
        <v>82</v>
      </c>
      <c r="C5" s="13" t="s">
        <v>83</v>
      </c>
      <c r="D5" s="13" t="s">
        <v>84</v>
      </c>
      <c r="E5" s="13" t="s">
        <v>85</v>
      </c>
      <c r="F5" s="13" t="s">
        <v>86</v>
      </c>
      <c r="G5" s="13" t="s">
        <v>87</v>
      </c>
      <c r="H5" s="13" t="s">
        <v>88</v>
      </c>
      <c r="I5" s="13" t="s">
        <v>89</v>
      </c>
      <c r="J5" s="13" t="s">
        <v>90</v>
      </c>
      <c r="K5" s="13" t="s">
        <v>91</v>
      </c>
    </row>
    <row r="6" customFormat="false" ht="15" hidden="false" customHeight="false" outlineLevel="0" collapsed="false">
      <c r="B6" s="12" t="s">
        <v>92</v>
      </c>
      <c r="C6" s="12" t="n">
        <v>72</v>
      </c>
      <c r="D6" s="11" t="n">
        <v>432</v>
      </c>
      <c r="E6" s="11" t="n">
        <v>55</v>
      </c>
      <c r="F6" s="19" t="n">
        <f aca="false">(D6+E6)/C6</f>
        <v>6.76388888888889</v>
      </c>
      <c r="G6" s="11" t="n">
        <v>25</v>
      </c>
      <c r="H6" s="8" t="n">
        <v>0.1</v>
      </c>
      <c r="I6" s="19" t="n">
        <f aca="false">G6*(1-H6)-F6</f>
        <v>15.7361111111111</v>
      </c>
      <c r="J6" s="20" t="n">
        <f aca="false">IF(I6&gt;0,ROUNDUP((D6+E6)/I6,0),"—")</f>
        <v>31</v>
      </c>
      <c r="K6" s="21" t="n">
        <f aca="false">IF(F6&gt;0,G6/F6,"—")</f>
        <v>3.69609856262834</v>
      </c>
    </row>
    <row r="7" customFormat="false" ht="15" hidden="false" customHeight="false" outlineLevel="0" collapsed="false">
      <c r="B7" s="12"/>
      <c r="C7" s="12"/>
      <c r="D7" s="11"/>
      <c r="E7" s="11"/>
      <c r="F7" s="22" t="str">
        <f aca="false">IF($C7="","",(D7+E7)/C7)</f>
        <v/>
      </c>
      <c r="G7" s="11"/>
      <c r="H7" s="8"/>
      <c r="I7" s="22" t="str">
        <f aca="false">IF($C7="","",G7*(1-H7)-F7)</f>
        <v/>
      </c>
      <c r="J7" s="23" t="str">
        <f aca="false">IF($C7="","",IF(I7&gt;0,ROUNDUP((D7+E7)/I7,0),"—"))</f>
        <v/>
      </c>
      <c r="K7" s="24" t="str">
        <f aca="false">IF($C7="","",IF(F7&gt;0,G7/F7,"—"))</f>
        <v/>
      </c>
    </row>
    <row r="8" customFormat="false" ht="15" hidden="false" customHeight="false" outlineLevel="0" collapsed="false">
      <c r="B8" s="12"/>
      <c r="C8" s="12"/>
      <c r="D8" s="11"/>
      <c r="E8" s="11"/>
      <c r="F8" s="22" t="str">
        <f aca="false">IF($C8="","",(D8+E8)/C8)</f>
        <v/>
      </c>
      <c r="G8" s="11"/>
      <c r="H8" s="8"/>
      <c r="I8" s="22" t="str">
        <f aca="false">IF($C8="","",G8*(1-H8)-F8)</f>
        <v/>
      </c>
      <c r="J8" s="23" t="str">
        <f aca="false">IF($C8="","",IF(I8&gt;0,ROUNDUP((D8+E8)/I8,0),"—"))</f>
        <v/>
      </c>
      <c r="K8" s="24" t="str">
        <f aca="false">IF($C8="","",IF(F8&gt;0,G8/F8,"—"))</f>
        <v/>
      </c>
    </row>
    <row r="9" customFormat="false" ht="15" hidden="false" customHeight="false" outlineLevel="0" collapsed="false">
      <c r="B9" s="12"/>
      <c r="C9" s="12"/>
      <c r="D9" s="11"/>
      <c r="E9" s="11"/>
      <c r="F9" s="22" t="str">
        <f aca="false">IF($C9="","",(D9+E9)/C9)</f>
        <v/>
      </c>
      <c r="G9" s="11"/>
      <c r="H9" s="8"/>
      <c r="I9" s="22" t="str">
        <f aca="false">IF($C9="","",G9*(1-H9)-F9)</f>
        <v/>
      </c>
      <c r="J9" s="23" t="str">
        <f aca="false">IF($C9="","",IF(I9&gt;0,ROUNDUP((D9+E9)/I9,0),"—"))</f>
        <v/>
      </c>
      <c r="K9" s="24" t="str">
        <f aca="false">IF($C9="","",IF(F9&gt;0,G9/F9,"—"))</f>
        <v/>
      </c>
    </row>
    <row r="10" customFormat="false" ht="15" hidden="false" customHeight="false" outlineLevel="0" collapsed="false">
      <c r="B10" s="12"/>
      <c r="C10" s="12"/>
      <c r="D10" s="11"/>
      <c r="E10" s="11"/>
      <c r="F10" s="22" t="str">
        <f aca="false">IF($C10="","",(D10+E10)/C10)</f>
        <v/>
      </c>
      <c r="G10" s="11"/>
      <c r="H10" s="8"/>
      <c r="I10" s="22" t="str">
        <f aca="false">IF($C10="","",G10*(1-H10)-F10)</f>
        <v/>
      </c>
      <c r="J10" s="23" t="str">
        <f aca="false">IF($C10="","",IF(I10&gt;0,ROUNDUP((D10+E10)/I10,0),"—"))</f>
        <v/>
      </c>
      <c r="K10" s="24" t="str">
        <f aca="false">IF($C10="","",IF(F10&gt;0,G10/F10,"—"))</f>
        <v/>
      </c>
    </row>
    <row r="11" customFormat="false" ht="15" hidden="false" customHeight="false" outlineLevel="0" collapsed="false">
      <c r="B11" s="12"/>
      <c r="C11" s="12"/>
      <c r="D11" s="11"/>
      <c r="E11" s="11"/>
      <c r="F11" s="22" t="str">
        <f aca="false">IF($C11="","",(D11+E11)/C11)</f>
        <v/>
      </c>
      <c r="G11" s="11"/>
      <c r="H11" s="8"/>
      <c r="I11" s="22" t="str">
        <f aca="false">IF($C11="","",G11*(1-H11)-F11)</f>
        <v/>
      </c>
      <c r="J11" s="23" t="str">
        <f aca="false">IF($C11="","",IF(I11&gt;0,ROUNDUP((D11+E11)/I11,0),"—"))</f>
        <v/>
      </c>
      <c r="K11" s="24" t="str">
        <f aca="false">IF($C11="","",IF(F11&gt;0,G11/F11,"—"))</f>
        <v/>
      </c>
    </row>
    <row r="12" customFormat="false" ht="15" hidden="false" customHeight="false" outlineLevel="0" collapsed="false">
      <c r="B12" s="12"/>
      <c r="C12" s="12"/>
      <c r="D12" s="11"/>
      <c r="E12" s="11"/>
      <c r="F12" s="22" t="str">
        <f aca="false">IF($C12="","",(D12+E12)/C12)</f>
        <v/>
      </c>
      <c r="G12" s="11"/>
      <c r="H12" s="8"/>
      <c r="I12" s="22" t="str">
        <f aca="false">IF($C12="","",G12*(1-H12)-F12)</f>
        <v/>
      </c>
      <c r="J12" s="23" t="str">
        <f aca="false">IF($C12="","",IF(I12&gt;0,ROUNDUP((D12+E12)/I12,0),"—"))</f>
        <v/>
      </c>
      <c r="K12" s="24" t="str">
        <f aca="false">IF($C12="","",IF(F12&gt;0,G12/F12,"—"))</f>
        <v/>
      </c>
    </row>
    <row r="13" customFormat="false" ht="15" hidden="false" customHeight="false" outlineLevel="0" collapsed="false">
      <c r="B13" s="12"/>
      <c r="C13" s="12"/>
      <c r="D13" s="11"/>
      <c r="E13" s="11"/>
      <c r="F13" s="22" t="str">
        <f aca="false">IF($C13="","",(D13+E13)/C13)</f>
        <v/>
      </c>
      <c r="G13" s="11"/>
      <c r="H13" s="8"/>
      <c r="I13" s="22" t="str">
        <f aca="false">IF($C13="","",G13*(1-H13)-F13)</f>
        <v/>
      </c>
      <c r="J13" s="23" t="str">
        <f aca="false">IF($C13="","",IF(I13&gt;0,ROUNDUP((D13+E13)/I13,0),"—"))</f>
        <v/>
      </c>
      <c r="K13" s="24" t="str">
        <f aca="false">IF($C13="","",IF(F13&gt;0,G13/F13,"—"))</f>
        <v/>
      </c>
    </row>
    <row r="14" customFormat="false" ht="15" hidden="false" customHeight="false" outlineLevel="0" collapsed="false">
      <c r="B14" s="12"/>
      <c r="C14" s="12"/>
      <c r="D14" s="11"/>
      <c r="E14" s="11"/>
      <c r="F14" s="22" t="str">
        <f aca="false">IF($C14="","",(D14+E14)/C14)</f>
        <v/>
      </c>
      <c r="G14" s="11"/>
      <c r="H14" s="8"/>
      <c r="I14" s="22" t="str">
        <f aca="false">IF($C14="","",G14*(1-H14)-F14)</f>
        <v/>
      </c>
      <c r="J14" s="23" t="str">
        <f aca="false">IF($C14="","",IF(I14&gt;0,ROUNDUP((D14+E14)/I14,0),"—"))</f>
        <v/>
      </c>
      <c r="K14" s="24" t="str">
        <f aca="false">IF($C14="","",IF(F14&gt;0,G14/F14,"—"))</f>
        <v/>
      </c>
    </row>
    <row r="15" customFormat="false" ht="15" hidden="false" customHeight="false" outlineLevel="0" collapsed="false">
      <c r="B15" s="12"/>
      <c r="C15" s="12"/>
      <c r="D15" s="11"/>
      <c r="E15" s="11"/>
      <c r="F15" s="22" t="str">
        <f aca="false">IF($C15="","",(D15+E15)/C15)</f>
        <v/>
      </c>
      <c r="G15" s="11"/>
      <c r="H15" s="8"/>
      <c r="I15" s="22" t="str">
        <f aca="false">IF($C15="","",G15*(1-H15)-F15)</f>
        <v/>
      </c>
      <c r="J15" s="23" t="str">
        <f aca="false">IF($C15="","",IF(I15&gt;0,ROUNDUP((D15+E15)/I15,0),"—"))</f>
        <v/>
      </c>
      <c r="K15" s="24" t="str">
        <f aca="false">IF($C15="","",IF(F15&gt;0,G15/F15,"—"))</f>
        <v/>
      </c>
    </row>
    <row r="16" customFormat="false" ht="15" hidden="false" customHeight="false" outlineLevel="0" collapsed="false">
      <c r="B16" s="12"/>
      <c r="C16" s="12"/>
      <c r="D16" s="11"/>
      <c r="E16" s="11"/>
      <c r="F16" s="22" t="str">
        <f aca="false">IF($C16="","",(D16+E16)/C16)</f>
        <v/>
      </c>
      <c r="G16" s="11"/>
      <c r="H16" s="8"/>
      <c r="I16" s="22" t="str">
        <f aca="false">IF($C16="","",G16*(1-H16)-F16)</f>
        <v/>
      </c>
      <c r="J16" s="23" t="str">
        <f aca="false">IF($C16="","",IF(I16&gt;0,ROUNDUP((D16+E16)/I16,0),"—"))</f>
        <v/>
      </c>
      <c r="K16" s="24" t="str">
        <f aca="false">IF($C16="","",IF(F16&gt;0,G16/F16,"—"))</f>
        <v/>
      </c>
    </row>
    <row r="17" customFormat="false" ht="15" hidden="false" customHeight="false" outlineLevel="0" collapsed="false">
      <c r="B17" s="12"/>
      <c r="C17" s="12"/>
      <c r="D17" s="11"/>
      <c r="E17" s="11"/>
      <c r="F17" s="22" t="str">
        <f aca="false">IF($C17="","",(D17+E17)/C17)</f>
        <v/>
      </c>
      <c r="G17" s="11"/>
      <c r="H17" s="8"/>
      <c r="I17" s="22" t="str">
        <f aca="false">IF($C17="","",G17*(1-H17)-F17)</f>
        <v/>
      </c>
      <c r="J17" s="23" t="str">
        <f aca="false">IF($C17="","",IF(I17&gt;0,ROUNDUP((D17+E17)/I17,0),"—"))</f>
        <v/>
      </c>
      <c r="K17" s="24" t="str">
        <f aca="false">IF($C17="","",IF(F17&gt;0,G17/F17,"—"))</f>
        <v/>
      </c>
    </row>
    <row r="18" customFormat="false" ht="15" hidden="false" customHeight="false" outlineLevel="0" collapsed="false">
      <c r="B18" s="12"/>
      <c r="C18" s="12"/>
      <c r="D18" s="11"/>
      <c r="E18" s="11"/>
      <c r="F18" s="22" t="str">
        <f aca="false">IF($C18="","",(D18+E18)/C18)</f>
        <v/>
      </c>
      <c r="G18" s="11"/>
      <c r="H18" s="8"/>
      <c r="I18" s="22" t="str">
        <f aca="false">IF($C18="","",G18*(1-H18)-F18)</f>
        <v/>
      </c>
      <c r="J18" s="23" t="str">
        <f aca="false">IF($C18="","",IF(I18&gt;0,ROUNDUP((D18+E18)/I18,0),"—"))</f>
        <v/>
      </c>
      <c r="K18" s="24" t="str">
        <f aca="false">IF($C18="","",IF(F18&gt;0,G18/F18,"—"))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</cols>
  <sheetData>
    <row r="2" customFormat="false" ht="19.7" hidden="false" customHeight="false" outlineLevel="0" collapsed="false">
      <c r="B2" s="5" t="s">
        <v>93</v>
      </c>
    </row>
    <row r="3" customFormat="false" ht="15" hidden="false" customHeight="false" outlineLevel="0" collapsed="false">
      <c r="B3" s="2" t="s">
        <v>94</v>
      </c>
    </row>
    <row r="5" customFormat="false" ht="15" hidden="false" customHeight="false" outlineLevel="0" collapsed="false">
      <c r="B5" s="7" t="s">
        <v>95</v>
      </c>
      <c r="C5" s="15" t="n">
        <f aca="false">'Year Map'!G18</f>
        <v>25625</v>
      </c>
    </row>
    <row r="6" customFormat="false" ht="15" hidden="false" customHeight="false" outlineLevel="0" collapsed="false">
      <c r="B6" s="7" t="s">
        <v>96</v>
      </c>
      <c r="C6" s="15" t="n">
        <f aca="false">'Year Map'!H18</f>
        <v>8950</v>
      </c>
    </row>
    <row r="7" customFormat="false" ht="15" hidden="false" customHeight="false" outlineLevel="0" collapsed="false">
      <c r="B7" s="7" t="s">
        <v>97</v>
      </c>
      <c r="C7" s="15" t="n">
        <f aca="false">'Year Map'!I18</f>
        <v>6406.25</v>
      </c>
    </row>
    <row r="8" customFormat="false" ht="15" hidden="false" customHeight="false" outlineLevel="0" collapsed="false">
      <c r="B8" s="7" t="s">
        <v>98</v>
      </c>
      <c r="C8" s="15" t="n">
        <f aca="false">'Year Map'!J18</f>
        <v>3843.75</v>
      </c>
    </row>
    <row r="9" customFormat="false" ht="15" hidden="false" customHeight="false" outlineLevel="0" collapsed="false">
      <c r="B9" s="7" t="s">
        <v>99</v>
      </c>
      <c r="C9" s="15" t="n">
        <f aca="false">'Year Map'!K18</f>
        <v>2562.5</v>
      </c>
    </row>
    <row r="10" customFormat="false" ht="15" hidden="false" customHeight="false" outlineLevel="0" collapsed="false">
      <c r="B10" s="7" t="s">
        <v>100</v>
      </c>
      <c r="C10" s="15" t="n">
        <f aca="false">'Year Map'!M17</f>
        <v>3562.5</v>
      </c>
    </row>
    <row r="11" customFormat="false" ht="15" hidden="false" customHeight="false" outlineLevel="0" collapsed="false">
      <c r="B11" s="7" t="s">
        <v>101</v>
      </c>
      <c r="C11" s="25" t="n">
        <f aca="false">'Year Map'!M17/'The Split'!C13</f>
        <v>1.61931818181818</v>
      </c>
    </row>
    <row r="12" customFormat="false" ht="15" hidden="false" customHeight="false" outlineLevel="0" collapsed="false">
      <c r="B12" s="7" t="s">
        <v>102</v>
      </c>
      <c r="C12" s="25" t="n">
        <f aca="false">'The Split'!C12</f>
        <v>4</v>
      </c>
    </row>
    <row r="13" customFormat="false" ht="15" hidden="false" customHeight="false" outlineLevel="0" collapsed="false">
      <c r="B13" s="7" t="s">
        <v>103</v>
      </c>
      <c r="C13" s="26" t="str">
        <f aca="false">IF('Year Map'!M17/'The Split'!C13&gt;='The Split'!C12,"ON TARGET","BEHIND")</f>
        <v>BEHIND</v>
      </c>
    </row>
    <row r="14" customFormat="false" ht="15" hidden="false" customHeight="false" outlineLevel="0" collapsed="false">
      <c r="B14" s="7" t="s">
        <v>104</v>
      </c>
      <c r="C14" s="15" t="n">
        <f aca="false">'The Split'!C6*'Year Map'!G18/12</f>
        <v>533.854166666667</v>
      </c>
    </row>
    <row r="15" customFormat="false" ht="15" hidden="false" customHeight="false" outlineLevel="0" collapsed="false">
      <c r="B15" s="7" t="s">
        <v>105</v>
      </c>
      <c r="C15" s="15" t="n">
        <f aca="false">'The Split'!C11</f>
        <v>1500</v>
      </c>
    </row>
    <row r="16" customFormat="false" ht="15" hidden="false" customHeight="false" outlineLevel="0" collapsed="false">
      <c r="B16" s="7" t="s">
        <v>106</v>
      </c>
      <c r="C16" s="26" t="str">
        <f aca="false">IF('The Split'!C6*'Year Map'!G18/12&gt;='The Split'!C11,"COVERED","GAP — see Year Map")</f>
        <v>GAP — see Year Map</v>
      </c>
    </row>
    <row r="17" customFormat="false" ht="15" hidden="false" customHeight="false" outlineLevel="0" collapsed="false">
      <c r="B17" s="7" t="s">
        <v>107</v>
      </c>
      <c r="C17" s="15" t="n">
        <f aca="false">'Show Tracker'!K37</f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2026-08-20T06:15:55Z</dcterms:created>
  <dc:creator>openpyxl</dc:creator>
  <dc:description/>
  <dc:language>en-US</dc:language>
  <cp:lastModifiedBy/>
  <dcterms:modified xsi:type="dcterms:W3CDTF">2026-08-20T06:15:55Z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